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EM VII\Lab\SPM\"/>
    </mc:Choice>
  </mc:AlternateContent>
  <xr:revisionPtr revIDLastSave="0" documentId="13_ncr:1_{18D4179D-67C6-4C56-9447-A98C26170F41}" xr6:coauthVersionLast="47" xr6:coauthVersionMax="47" xr10:uidLastSave="{00000000-0000-0000-0000-000000000000}"/>
  <bookViews>
    <workbookView xWindow="-108" yWindow="-108" windowWidth="23256" windowHeight="13896" xr2:uid="{0BB47063-B3A0-418A-AAA0-B73B74DF2503}"/>
  </bookViews>
  <sheets>
    <sheet name="Lab1" sheetId="1" r:id="rId1"/>
    <sheet name="Lab3" sheetId="2" r:id="rId2"/>
    <sheet name="Lab3FieldReport" sheetId="3" r:id="rId3"/>
    <sheet name="Lab3EVA Calculatio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3" i="1" l="1"/>
  <c r="D15" i="4"/>
  <c r="D16" i="4"/>
  <c r="D12" i="4"/>
  <c r="D11" i="4"/>
  <c r="D10" i="4"/>
  <c r="D9" i="4"/>
  <c r="E7" i="4"/>
  <c r="C7" i="4"/>
  <c r="B7" i="4"/>
  <c r="E3" i="4"/>
  <c r="E4" i="4"/>
  <c r="E5" i="4"/>
  <c r="E6" i="4"/>
  <c r="E2" i="4"/>
  <c r="C3" i="4"/>
  <c r="C4" i="4"/>
  <c r="C5" i="4"/>
  <c r="C6" i="4"/>
  <c r="C2" i="4"/>
  <c r="B3" i="4"/>
  <c r="B4" i="4"/>
  <c r="B5" i="4"/>
  <c r="B6" i="4"/>
  <c r="B2" i="4"/>
  <c r="F4" i="2"/>
  <c r="F5" i="2"/>
  <c r="F6" i="2"/>
  <c r="F7" i="2"/>
  <c r="F3" i="2"/>
  <c r="B22" i="1"/>
  <c r="B20" i="1"/>
  <c r="G2" i="1"/>
  <c r="F2" i="1"/>
  <c r="E3" i="1"/>
  <c r="F3" i="1" s="1"/>
  <c r="E4" i="1"/>
  <c r="F4" i="1" s="1"/>
  <c r="E5" i="1"/>
  <c r="F5" i="1" s="1"/>
  <c r="E6" i="1"/>
  <c r="F6" i="1" s="1"/>
  <c r="E7" i="1"/>
  <c r="F7" i="1" s="1"/>
  <c r="E2" i="1"/>
  <c r="D3" i="1"/>
  <c r="D4" i="1" s="1"/>
  <c r="D5" i="1" s="1"/>
  <c r="D6" i="1" s="1"/>
  <c r="D2" i="1"/>
  <c r="C11" i="1"/>
  <c r="B8" i="1"/>
  <c r="C9" i="1"/>
  <c r="B14" i="1" s="1"/>
  <c r="B15" i="1" s="1"/>
  <c r="B18" i="1" l="1"/>
  <c r="G3" i="1"/>
  <c r="G4" i="1" s="1"/>
  <c r="G5" i="1" s="1"/>
  <c r="G6" i="1" s="1"/>
  <c r="B21" i="1"/>
  <c r="B23" i="1" s="1"/>
  <c r="B17" i="1"/>
  <c r="D7" i="1"/>
  <c r="B16" i="1"/>
  <c r="B19" i="1" l="1"/>
  <c r="G7" i="1"/>
</calcChain>
</file>

<file path=xl/sharedStrings.xml><?xml version="1.0" encoding="utf-8"?>
<sst xmlns="http://schemas.openxmlformats.org/spreadsheetml/2006/main" count="74" uniqueCount="57">
  <si>
    <t>SN</t>
  </si>
  <si>
    <t>Year</t>
  </si>
  <si>
    <t>Net Yearly CashFlow (Rs.)</t>
  </si>
  <si>
    <t>Total Benefit :</t>
  </si>
  <si>
    <t>NetProfit:</t>
  </si>
  <si>
    <t xml:space="preserve">Net ROI : </t>
  </si>
  <si>
    <t xml:space="preserve">Net Profit = Total Benefit - Total Cost </t>
  </si>
  <si>
    <t>ROI = NetProfilt / Total Investment * 100%</t>
  </si>
  <si>
    <t>No. of Year</t>
  </si>
  <si>
    <t>YearlyROI :</t>
  </si>
  <si>
    <t>Yearly ROI = Avarege  Profit Per Year / Total Investment *100 %</t>
  </si>
  <si>
    <t>%</t>
  </si>
  <si>
    <t>Cummulative CashFlow</t>
  </si>
  <si>
    <t>PayBack Period = Year(Last Negative) + (Unrecovered Cash at start of the year/Yearly CashFlow)</t>
  </si>
  <si>
    <t>PayBackPeriod:</t>
  </si>
  <si>
    <t>Total Investment / Cost :</t>
  </si>
  <si>
    <t>Discount Factor (@ 6%)</t>
  </si>
  <si>
    <t>Discounted CastFlow</t>
  </si>
  <si>
    <t>Discount Factor = 1/(1+6)^Year</t>
  </si>
  <si>
    <t>Discounted CashFlow = DiscountFactor / CashFlow</t>
  </si>
  <si>
    <t xml:space="preserve">NPV : </t>
  </si>
  <si>
    <t>NPV = Sum(Discounted CashFlow)</t>
  </si>
  <si>
    <t>Cummulative Discounted CashFlow</t>
  </si>
  <si>
    <t>IRR :</t>
  </si>
  <si>
    <t>Discounted PayBack Period:</t>
  </si>
  <si>
    <t>B-C Ratio :</t>
  </si>
  <si>
    <t>PW of Benefit  = Sum(Discounted CashFlow)</t>
  </si>
  <si>
    <t>PW of Cost = Negative Cashflow</t>
  </si>
  <si>
    <t xml:space="preserve">PW of Benefit : </t>
  </si>
  <si>
    <t xml:space="preserve">PW of Cost: </t>
  </si>
  <si>
    <t>Activity</t>
  </si>
  <si>
    <t>A</t>
  </si>
  <si>
    <t>B</t>
  </si>
  <si>
    <t>C</t>
  </si>
  <si>
    <t>D</t>
  </si>
  <si>
    <t>E</t>
  </si>
  <si>
    <t>Duration</t>
  </si>
  <si>
    <t>PerdayRate</t>
  </si>
  <si>
    <t>TotalCost</t>
  </si>
  <si>
    <t>ProgressMonitored(FieldReport) at day 7</t>
  </si>
  <si>
    <t>Field Report At The Enf Of Day 7</t>
  </si>
  <si>
    <t>Actual % Completed</t>
  </si>
  <si>
    <t>IncurredCost</t>
  </si>
  <si>
    <t>ACWP</t>
  </si>
  <si>
    <t>BCWP</t>
  </si>
  <si>
    <t>BCWS</t>
  </si>
  <si>
    <t>Required % Complete at Day 7</t>
  </si>
  <si>
    <t>Sum</t>
  </si>
  <si>
    <t>CPI</t>
  </si>
  <si>
    <t>SPI</t>
  </si>
  <si>
    <t>CV</t>
  </si>
  <si>
    <t>SV</t>
  </si>
  <si>
    <t>BCWP/ACWP</t>
  </si>
  <si>
    <t>BCWP/BCWS</t>
  </si>
  <si>
    <t>BCWP-ACWP</t>
  </si>
  <si>
    <t>BCWP-BCWS</t>
  </si>
  <si>
    <t>Conclusion: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</si>
</sst>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theme="5" tint="-0.249977111117893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0" xfId="0" applyFill="1"/>
    <xf numFmtId="0" fontId="0" fillId="3" borderId="1" xfId="0" applyFill="1" applyBorder="1"/>
    <xf numFmtId="0" fontId="0" fillId="6" borderId="1" xfId="0" applyFill="1" applyBorder="1"/>
    <xf numFmtId="0" fontId="0" fillId="7" borderId="1" xfId="0" applyFill="1" applyBorder="1"/>
    <xf numFmtId="2" fontId="0" fillId="5" borderId="1" xfId="0" applyNumberFormat="1" applyFill="1" applyBorder="1"/>
    <xf numFmtId="0" fontId="0" fillId="5" borderId="1" xfId="0" applyFill="1" applyBorder="1"/>
    <xf numFmtId="0" fontId="0" fillId="2" borderId="1" xfId="0" applyFill="1" applyBorder="1"/>
    <xf numFmtId="0" fontId="2" fillId="0" borderId="1" xfId="0" applyFont="1" applyFill="1" applyBorder="1" applyAlignment="1">
      <alignment horizontal="center"/>
    </xf>
    <xf numFmtId="0" fontId="0" fillId="0" borderId="0" xfId="0" applyFill="1" applyAlignment="1">
      <alignment horizontal="right"/>
    </xf>
    <xf numFmtId="0" fontId="3" fillId="0" borderId="1" xfId="0" applyFont="1" applyFill="1" applyBorder="1" applyAlignment="1">
      <alignment horizontal="center"/>
    </xf>
    <xf numFmtId="164" fontId="3" fillId="0" borderId="1" xfId="0" applyNumberFormat="1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2" fillId="0" borderId="1" xfId="0" applyFont="1" applyFill="1" applyBorder="1" applyAlignment="1">
      <alignment horizontal="right"/>
    </xf>
    <xf numFmtId="0" fontId="3" fillId="0" borderId="1" xfId="0" applyFont="1" applyFill="1" applyBorder="1" applyAlignment="1">
      <alignment horizontal="right"/>
    </xf>
    <xf numFmtId="0" fontId="4" fillId="0" borderId="1" xfId="0" applyFont="1" applyFill="1" applyBorder="1" applyAlignment="1">
      <alignment horizontal="left"/>
    </xf>
    <xf numFmtId="2" fontId="3" fillId="0" borderId="1" xfId="0" applyNumberFormat="1" applyFont="1" applyFill="1" applyBorder="1" applyAlignment="1">
      <alignment horizontal="right"/>
    </xf>
    <xf numFmtId="0" fontId="2" fillId="0" borderId="1" xfId="0" applyFont="1" applyFill="1" applyBorder="1" applyAlignment="1">
      <alignment horizontal="right" wrapText="1"/>
    </xf>
    <xf numFmtId="165" fontId="3" fillId="0" borderId="1" xfId="0" applyNumberFormat="1" applyFont="1" applyFill="1" applyBorder="1" applyAlignment="1">
      <alignment horizontal="right"/>
    </xf>
    <xf numFmtId="10" fontId="3" fillId="0" borderId="1" xfId="1" applyNumberFormat="1" applyFont="1" applyFill="1" applyBorder="1" applyAlignment="1">
      <alignment horizontal="righ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52EB5-E553-41E5-9C82-6B93D227FF19}">
  <sheetPr>
    <pageSetUpPr fitToPage="1"/>
  </sheetPr>
  <dimension ref="A1:H23"/>
  <sheetViews>
    <sheetView tabSelected="1" zoomScaleNormal="100" workbookViewId="0">
      <selection activeCell="C23" sqref="C23"/>
    </sheetView>
  </sheetViews>
  <sheetFormatPr defaultRowHeight="14.4" x14ac:dyDescent="0.3"/>
  <cols>
    <col min="1" max="1" width="13.77734375" style="15" bestFit="1" customWidth="1"/>
    <col min="2" max="2" width="10.5546875" style="15" bestFit="1" customWidth="1"/>
    <col min="3" max="3" width="26.33203125" style="15" bestFit="1" customWidth="1"/>
    <col min="4" max="4" width="27" style="15" bestFit="1" customWidth="1"/>
    <col min="5" max="5" width="19.88671875" style="15" bestFit="1" customWidth="1"/>
    <col min="6" max="6" width="18.109375" style="15" bestFit="1" customWidth="1"/>
    <col min="7" max="7" width="29.77734375" style="15" bestFit="1" customWidth="1"/>
    <col min="8" max="8" width="78.109375" style="15" bestFit="1" customWidth="1"/>
    <col min="9" max="16384" width="8.88671875" style="15"/>
  </cols>
  <sheetData>
    <row r="1" spans="1:8" x14ac:dyDescent="0.3">
      <c r="A1" s="14" t="s">
        <v>0</v>
      </c>
      <c r="B1" s="14" t="s">
        <v>1</v>
      </c>
      <c r="C1" s="14" t="s">
        <v>2</v>
      </c>
      <c r="D1" s="14" t="s">
        <v>12</v>
      </c>
      <c r="E1" s="14" t="s">
        <v>16</v>
      </c>
      <c r="F1" s="14" t="s">
        <v>17</v>
      </c>
      <c r="G1" s="14" t="s">
        <v>22</v>
      </c>
    </row>
    <row r="2" spans="1:8" x14ac:dyDescent="0.3">
      <c r="A2" s="16">
        <v>1</v>
      </c>
      <c r="B2" s="16">
        <v>0</v>
      </c>
      <c r="C2" s="16">
        <v>-290000</v>
      </c>
      <c r="D2" s="16">
        <f>C2</f>
        <v>-290000</v>
      </c>
      <c r="E2" s="16">
        <f>1/(1+6/100)^B2</f>
        <v>1</v>
      </c>
      <c r="F2" s="16">
        <f>E2*C2</f>
        <v>-290000</v>
      </c>
      <c r="G2" s="16">
        <f>F2</f>
        <v>-290000</v>
      </c>
    </row>
    <row r="3" spans="1:8" x14ac:dyDescent="0.3">
      <c r="A3" s="16">
        <v>2</v>
      </c>
      <c r="B3" s="16">
        <v>1</v>
      </c>
      <c r="C3" s="16">
        <v>70000</v>
      </c>
      <c r="D3" s="16">
        <f>D2+C3</f>
        <v>-220000</v>
      </c>
      <c r="E3" s="17">
        <f t="shared" ref="E3:E7" si="0">1/(1+6/100)^B3</f>
        <v>0.94339622641509424</v>
      </c>
      <c r="F3" s="16">
        <f t="shared" ref="F3:F7" si="1">E3*C3</f>
        <v>66037.735849056597</v>
      </c>
      <c r="G3" s="16">
        <f>G2+F3</f>
        <v>-223962.2641509434</v>
      </c>
    </row>
    <row r="4" spans="1:8" x14ac:dyDescent="0.3">
      <c r="A4" s="16">
        <v>3</v>
      </c>
      <c r="B4" s="16">
        <v>2</v>
      </c>
      <c r="C4" s="16">
        <v>70000</v>
      </c>
      <c r="D4" s="16">
        <f t="shared" ref="D4:D7" si="2">D3+C4</f>
        <v>-150000</v>
      </c>
      <c r="E4" s="17">
        <f t="shared" si="0"/>
        <v>0.88999644001423983</v>
      </c>
      <c r="F4" s="16">
        <f t="shared" si="1"/>
        <v>62299.750800996786</v>
      </c>
      <c r="G4" s="16">
        <f t="shared" ref="G4:G7" si="3">G3+F4</f>
        <v>-161662.51334994662</v>
      </c>
    </row>
    <row r="5" spans="1:8" x14ac:dyDescent="0.3">
      <c r="A5" s="16">
        <v>4</v>
      </c>
      <c r="B5" s="16">
        <v>3</v>
      </c>
      <c r="C5" s="16">
        <v>70000</v>
      </c>
      <c r="D5" s="16">
        <f t="shared" si="2"/>
        <v>-80000</v>
      </c>
      <c r="E5" s="17">
        <f t="shared" si="0"/>
        <v>0.8396192830323016</v>
      </c>
      <c r="F5" s="16">
        <f t="shared" si="1"/>
        <v>58773.349812261113</v>
      </c>
      <c r="G5" s="16">
        <f t="shared" si="3"/>
        <v>-102889.1635376855</v>
      </c>
    </row>
    <row r="6" spans="1:8" x14ac:dyDescent="0.3">
      <c r="A6" s="16">
        <v>5</v>
      </c>
      <c r="B6" s="16">
        <v>4</v>
      </c>
      <c r="C6" s="16">
        <v>70000</v>
      </c>
      <c r="D6" s="16">
        <f t="shared" si="2"/>
        <v>-10000</v>
      </c>
      <c r="E6" s="17">
        <f t="shared" si="0"/>
        <v>0.79209366323802044</v>
      </c>
      <c r="F6" s="16">
        <f t="shared" si="1"/>
        <v>55446.556426661431</v>
      </c>
      <c r="G6" s="16">
        <f t="shared" si="3"/>
        <v>-47442.607111024066</v>
      </c>
    </row>
    <row r="7" spans="1:8" x14ac:dyDescent="0.3">
      <c r="A7" s="16">
        <v>6</v>
      </c>
      <c r="B7" s="16">
        <v>5</v>
      </c>
      <c r="C7" s="16">
        <v>70000</v>
      </c>
      <c r="D7" s="16">
        <f t="shared" si="2"/>
        <v>60000</v>
      </c>
      <c r="E7" s="17">
        <f t="shared" si="0"/>
        <v>0.74725817286605689</v>
      </c>
      <c r="F7" s="16">
        <f t="shared" si="1"/>
        <v>52308.072100623984</v>
      </c>
      <c r="G7" s="16">
        <f t="shared" si="3"/>
        <v>4865.4649895999173</v>
      </c>
    </row>
    <row r="8" spans="1:8" x14ac:dyDescent="0.3">
      <c r="A8" s="14" t="s">
        <v>8</v>
      </c>
      <c r="B8" s="16">
        <f>COUNT(B3:B7)</f>
        <v>5</v>
      </c>
      <c r="C8" s="14" t="s">
        <v>3</v>
      </c>
    </row>
    <row r="9" spans="1:8" x14ac:dyDescent="0.3">
      <c r="C9" s="16">
        <f>SUM(C3:C7)</f>
        <v>350000</v>
      </c>
      <c r="D9" s="18"/>
    </row>
    <row r="10" spans="1:8" x14ac:dyDescent="0.3">
      <c r="A10" s="18"/>
      <c r="B10" s="18"/>
      <c r="C10" s="14" t="s">
        <v>15</v>
      </c>
      <c r="D10" s="18"/>
    </row>
    <row r="11" spans="1:8" x14ac:dyDescent="0.3">
      <c r="A11" s="18"/>
      <c r="B11" s="18"/>
      <c r="C11" s="16">
        <f>ABS(C2)</f>
        <v>290000</v>
      </c>
      <c r="D11" s="18"/>
    </row>
    <row r="14" spans="1:8" x14ac:dyDescent="0.3">
      <c r="A14" s="19" t="s">
        <v>4</v>
      </c>
      <c r="B14" s="20">
        <f>C9-C11</f>
        <v>60000</v>
      </c>
      <c r="C14" s="21" t="s">
        <v>11</v>
      </c>
      <c r="H14" s="20" t="s">
        <v>6</v>
      </c>
    </row>
    <row r="15" spans="1:8" x14ac:dyDescent="0.3">
      <c r="A15" s="19" t="s">
        <v>5</v>
      </c>
      <c r="B15" s="22">
        <f>(B14/ABS(C11))*100</f>
        <v>20.689655172413794</v>
      </c>
      <c r="C15" s="21" t="s">
        <v>11</v>
      </c>
      <c r="H15" s="20" t="s">
        <v>7</v>
      </c>
    </row>
    <row r="16" spans="1:8" x14ac:dyDescent="0.3">
      <c r="A16" s="19" t="s">
        <v>9</v>
      </c>
      <c r="B16" s="22">
        <f>(B14/B8)/ABS(C11)*100</f>
        <v>4.1379310344827589</v>
      </c>
      <c r="C16" s="21" t="s">
        <v>11</v>
      </c>
      <c r="H16" s="20" t="s">
        <v>10</v>
      </c>
    </row>
    <row r="17" spans="1:8" x14ac:dyDescent="0.3">
      <c r="A17" s="19" t="s">
        <v>14</v>
      </c>
      <c r="B17" s="22">
        <f>B6+(ABS(D6)/C7)</f>
        <v>4.1428571428571432</v>
      </c>
      <c r="C17" s="21" t="s">
        <v>1</v>
      </c>
      <c r="H17" s="20" t="s">
        <v>13</v>
      </c>
    </row>
    <row r="18" spans="1:8" x14ac:dyDescent="0.3">
      <c r="A18" s="19" t="s">
        <v>20</v>
      </c>
      <c r="B18" s="20">
        <f>SUM(F2:F7)</f>
        <v>4865.4649895999173</v>
      </c>
      <c r="C18" s="20"/>
      <c r="H18" s="20" t="s">
        <v>18</v>
      </c>
    </row>
    <row r="19" spans="1:8" ht="14.4" customHeight="1" x14ac:dyDescent="0.3">
      <c r="A19" s="23" t="s">
        <v>24</v>
      </c>
      <c r="B19" s="24">
        <f>4+(ABS(G6)/F6)</f>
        <v>4.8556456914285722</v>
      </c>
      <c r="C19" s="21" t="s">
        <v>1</v>
      </c>
      <c r="H19" s="20" t="s">
        <v>19</v>
      </c>
    </row>
    <row r="20" spans="1:8" x14ac:dyDescent="0.3">
      <c r="A20" s="19" t="s">
        <v>23</v>
      </c>
      <c r="B20" s="25">
        <f>IRR(C2:C7,10)</f>
        <v>6.614607350584234E-2</v>
      </c>
      <c r="C20" s="20"/>
      <c r="H20" s="20" t="s">
        <v>21</v>
      </c>
    </row>
    <row r="21" spans="1:8" x14ac:dyDescent="0.3">
      <c r="A21" s="19" t="s">
        <v>28</v>
      </c>
      <c r="B21" s="20">
        <f>SUM(F3:F7)</f>
        <v>294865.46498959995</v>
      </c>
      <c r="C21" s="20"/>
      <c r="H21" s="20" t="s">
        <v>26</v>
      </c>
    </row>
    <row r="22" spans="1:8" x14ac:dyDescent="0.3">
      <c r="A22" s="19" t="s">
        <v>29</v>
      </c>
      <c r="B22" s="20">
        <f>F2</f>
        <v>-290000</v>
      </c>
      <c r="C22" s="20"/>
      <c r="H22" s="20" t="s">
        <v>27</v>
      </c>
    </row>
    <row r="23" spans="1:8" x14ac:dyDescent="0.3">
      <c r="A23" s="19" t="s">
        <v>25</v>
      </c>
      <c r="B23" s="20">
        <f>B21/ABS(B22)</f>
        <v>1.016777465481379</v>
      </c>
      <c r="C23" s="21" t="str">
        <f>IF(B23&gt;1,"&gt;1 means Project is Acceptable", "&lt;1 means Project is not Acceptable")</f>
        <v>&gt;1 means Project is Acceptable</v>
      </c>
    </row>
  </sheetData>
  <pageMargins left="0.25" right="0.25" top="0.75" bottom="0.75" header="0.3" footer="0.3"/>
  <pageSetup paperSize="9" scale="6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AADB6-BC7A-44AA-9396-F1CBCB9045FF}">
  <dimension ref="B2:F10"/>
  <sheetViews>
    <sheetView workbookViewId="0">
      <selection activeCell="B10" sqref="B10"/>
    </sheetView>
  </sheetViews>
  <sheetFormatPr defaultRowHeight="14.4" x14ac:dyDescent="0.3"/>
  <cols>
    <col min="1" max="1" width="8.88671875" style="1"/>
    <col min="2" max="2" width="33.44140625" style="1" bestFit="1" customWidth="1"/>
    <col min="3" max="4" width="8.88671875" style="1"/>
    <col min="5" max="5" width="10.21875" style="1" bestFit="1" customWidth="1"/>
    <col min="6" max="16384" width="8.88671875" style="1"/>
  </cols>
  <sheetData>
    <row r="2" spans="2:6" x14ac:dyDescent="0.3">
      <c r="C2" s="2" t="s">
        <v>30</v>
      </c>
      <c r="D2" s="2" t="s">
        <v>36</v>
      </c>
      <c r="E2" s="2" t="s">
        <v>37</v>
      </c>
      <c r="F2" s="2" t="s">
        <v>38</v>
      </c>
    </row>
    <row r="3" spans="2:6" x14ac:dyDescent="0.3">
      <c r="C3" s="3" t="s">
        <v>31</v>
      </c>
      <c r="D3" s="3">
        <v>2</v>
      </c>
      <c r="E3" s="3">
        <v>300</v>
      </c>
      <c r="F3" s="3">
        <f>E3*D3</f>
        <v>600</v>
      </c>
    </row>
    <row r="4" spans="2:6" x14ac:dyDescent="0.3">
      <c r="C4" s="3" t="s">
        <v>32</v>
      </c>
      <c r="D4" s="3">
        <v>3</v>
      </c>
      <c r="E4" s="3">
        <v>400</v>
      </c>
      <c r="F4" s="3">
        <f t="shared" ref="F4:F7" si="0">E4*D4</f>
        <v>1200</v>
      </c>
    </row>
    <row r="5" spans="2:6" x14ac:dyDescent="0.3">
      <c r="C5" s="3" t="s">
        <v>33</v>
      </c>
      <c r="D5" s="3">
        <v>3</v>
      </c>
      <c r="E5" s="3">
        <v>400</v>
      </c>
      <c r="F5" s="3">
        <f t="shared" si="0"/>
        <v>1200</v>
      </c>
    </row>
    <row r="6" spans="2:6" x14ac:dyDescent="0.3">
      <c r="C6" s="3" t="s">
        <v>34</v>
      </c>
      <c r="D6" s="3">
        <v>2</v>
      </c>
      <c r="E6" s="3">
        <v>200</v>
      </c>
      <c r="F6" s="3">
        <f t="shared" si="0"/>
        <v>400</v>
      </c>
    </row>
    <row r="7" spans="2:6" x14ac:dyDescent="0.3">
      <c r="C7" s="3" t="s">
        <v>35</v>
      </c>
      <c r="D7" s="3">
        <v>3</v>
      </c>
      <c r="E7" s="3">
        <v>100</v>
      </c>
      <c r="F7" s="3">
        <f t="shared" si="0"/>
        <v>300</v>
      </c>
    </row>
    <row r="10" spans="2:6" x14ac:dyDescent="0.3">
      <c r="B10" s="4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BAABB-F81F-4BC8-BD78-BF16D7042492}">
  <dimension ref="B2:E8"/>
  <sheetViews>
    <sheetView workbookViewId="0">
      <selection activeCell="E17" sqref="E17"/>
    </sheetView>
  </sheetViews>
  <sheetFormatPr defaultRowHeight="14.4" x14ac:dyDescent="0.3"/>
  <cols>
    <col min="1" max="3" width="8.88671875" style="1"/>
    <col min="4" max="4" width="17.33203125" style="1" bestFit="1" customWidth="1"/>
    <col min="5" max="5" width="11.44140625" style="1" bestFit="1" customWidth="1"/>
    <col min="6" max="16384" width="8.88671875" style="1"/>
  </cols>
  <sheetData>
    <row r="2" spans="2:5" x14ac:dyDescent="0.3">
      <c r="B2" s="5" t="s">
        <v>40</v>
      </c>
      <c r="C2" s="5"/>
      <c r="D2" s="5"/>
      <c r="E2" s="5"/>
    </row>
    <row r="3" spans="2:5" x14ac:dyDescent="0.3">
      <c r="B3" s="6" t="s">
        <v>0</v>
      </c>
      <c r="C3" s="6" t="s">
        <v>30</v>
      </c>
      <c r="D3" s="6" t="s">
        <v>41</v>
      </c>
      <c r="E3" s="6" t="s">
        <v>42</v>
      </c>
    </row>
    <row r="4" spans="2:5" x14ac:dyDescent="0.3">
      <c r="B4" s="3">
        <v>1</v>
      </c>
      <c r="C4" s="3" t="s">
        <v>31</v>
      </c>
      <c r="D4" s="3">
        <v>100</v>
      </c>
      <c r="E4" s="3">
        <v>600</v>
      </c>
    </row>
    <row r="5" spans="2:5" x14ac:dyDescent="0.3">
      <c r="B5" s="3">
        <v>2</v>
      </c>
      <c r="C5" s="3" t="s">
        <v>32</v>
      </c>
      <c r="D5" s="3">
        <v>100</v>
      </c>
      <c r="E5" s="3">
        <v>1400</v>
      </c>
    </row>
    <row r="6" spans="2:5" x14ac:dyDescent="0.3">
      <c r="B6" s="3">
        <v>3</v>
      </c>
      <c r="C6" s="3" t="s">
        <v>33</v>
      </c>
      <c r="D6" s="3">
        <v>33</v>
      </c>
      <c r="E6" s="3">
        <v>500</v>
      </c>
    </row>
    <row r="7" spans="2:5" x14ac:dyDescent="0.3">
      <c r="B7" s="3">
        <v>4</v>
      </c>
      <c r="C7" s="3" t="s">
        <v>34</v>
      </c>
      <c r="D7" s="3">
        <v>50</v>
      </c>
      <c r="E7" s="3">
        <v>200</v>
      </c>
    </row>
    <row r="8" spans="2:5" x14ac:dyDescent="0.3">
      <c r="B8" s="3">
        <v>5</v>
      </c>
      <c r="C8" s="3" t="s">
        <v>35</v>
      </c>
      <c r="D8" s="3">
        <v>0</v>
      </c>
      <c r="E8" s="3">
        <v>0</v>
      </c>
    </row>
  </sheetData>
  <mergeCells count="1">
    <mergeCell ref="B2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0B538-4719-4C2F-96A2-22E3581DFFA0}">
  <dimension ref="A1:E16"/>
  <sheetViews>
    <sheetView workbookViewId="0">
      <selection activeCell="D15" sqref="D15"/>
    </sheetView>
  </sheetViews>
  <sheetFormatPr defaultRowHeight="14.4" x14ac:dyDescent="0.3"/>
  <cols>
    <col min="4" max="4" width="25.109375" bestFit="1" customWidth="1"/>
  </cols>
  <sheetData>
    <row r="1" spans="1:5" x14ac:dyDescent="0.3">
      <c r="A1" s="7" t="s">
        <v>30</v>
      </c>
      <c r="B1" s="7" t="s">
        <v>43</v>
      </c>
      <c r="C1" s="7" t="s">
        <v>44</v>
      </c>
      <c r="D1" s="7" t="s">
        <v>46</v>
      </c>
      <c r="E1" s="7" t="s">
        <v>45</v>
      </c>
    </row>
    <row r="2" spans="1:5" x14ac:dyDescent="0.3">
      <c r="A2" s="8" t="s">
        <v>31</v>
      </c>
      <c r="B2" s="8">
        <f>Lab3FieldReport!E4</f>
        <v>600</v>
      </c>
      <c r="C2" s="8">
        <f>Lab3FieldReport!D4*'Lab3'!F3/100</f>
        <v>600</v>
      </c>
      <c r="D2" s="8">
        <v>100</v>
      </c>
      <c r="E2" s="8">
        <f>D2*'Lab3'!F3/100</f>
        <v>600</v>
      </c>
    </row>
    <row r="3" spans="1:5" x14ac:dyDescent="0.3">
      <c r="A3" s="8" t="s">
        <v>32</v>
      </c>
      <c r="B3" s="8">
        <f>Lab3FieldReport!E5</f>
        <v>1400</v>
      </c>
      <c r="C3" s="8">
        <f>Lab3FieldReport!D5*'Lab3'!F4/100</f>
        <v>1200</v>
      </c>
      <c r="D3" s="8">
        <v>100</v>
      </c>
      <c r="E3" s="8">
        <f>D3*'Lab3'!F4/100</f>
        <v>1200</v>
      </c>
    </row>
    <row r="4" spans="1:5" x14ac:dyDescent="0.3">
      <c r="A4" s="8" t="s">
        <v>33</v>
      </c>
      <c r="B4" s="8">
        <f>Lab3FieldReport!E6</f>
        <v>500</v>
      </c>
      <c r="C4" s="8">
        <f>Lab3FieldReport!D6*'Lab3'!F5/100</f>
        <v>396</v>
      </c>
      <c r="D4" s="8">
        <v>66</v>
      </c>
      <c r="E4" s="8">
        <f>D4*'Lab3'!F5/100</f>
        <v>792</v>
      </c>
    </row>
    <row r="5" spans="1:5" x14ac:dyDescent="0.3">
      <c r="A5" s="8" t="s">
        <v>34</v>
      </c>
      <c r="B5" s="8">
        <f>Lab3FieldReport!E7</f>
        <v>200</v>
      </c>
      <c r="C5" s="8">
        <f>Lab3FieldReport!D7*'Lab3'!F6/100</f>
        <v>200</v>
      </c>
      <c r="D5" s="8">
        <v>100</v>
      </c>
      <c r="E5" s="8">
        <f>D5*'Lab3'!F6/100</f>
        <v>400</v>
      </c>
    </row>
    <row r="6" spans="1:5" x14ac:dyDescent="0.3">
      <c r="A6" s="8" t="s">
        <v>35</v>
      </c>
      <c r="B6" s="8">
        <f>Lab3FieldReport!E8</f>
        <v>0</v>
      </c>
      <c r="C6" s="8">
        <f>Lab3FieldReport!D8*'Lab3'!F7/100</f>
        <v>0</v>
      </c>
      <c r="D6" s="8">
        <v>0</v>
      </c>
      <c r="E6" s="8">
        <f>D6*'Lab3'!F7/100</f>
        <v>0</v>
      </c>
    </row>
    <row r="7" spans="1:5" x14ac:dyDescent="0.3">
      <c r="A7" s="9" t="s">
        <v>47</v>
      </c>
      <c r="B7" s="9">
        <f>SUM(B2:B6)</f>
        <v>2700</v>
      </c>
      <c r="C7" s="9">
        <f>SUM(C2:C6)</f>
        <v>2396</v>
      </c>
      <c r="D7" s="9"/>
      <c r="E7" s="9">
        <f>SUM(E2:E6)</f>
        <v>2992</v>
      </c>
    </row>
    <row r="9" spans="1:5" x14ac:dyDescent="0.3">
      <c r="B9" s="10" t="s">
        <v>48</v>
      </c>
      <c r="C9" s="10" t="s">
        <v>52</v>
      </c>
      <c r="D9" s="11">
        <f>C7/B7</f>
        <v>0.88740740740740742</v>
      </c>
    </row>
    <row r="10" spans="1:5" x14ac:dyDescent="0.3">
      <c r="B10" s="10" t="s">
        <v>49</v>
      </c>
      <c r="C10" s="10" t="s">
        <v>53</v>
      </c>
      <c r="D10" s="11">
        <f>C7/E7</f>
        <v>0.80080213903743314</v>
      </c>
    </row>
    <row r="11" spans="1:5" x14ac:dyDescent="0.3">
      <c r="B11" s="10" t="s">
        <v>50</v>
      </c>
      <c r="C11" s="10" t="s">
        <v>54</v>
      </c>
      <c r="D11" s="12">
        <f>C7-B7</f>
        <v>-304</v>
      </c>
    </row>
    <row r="12" spans="1:5" x14ac:dyDescent="0.3">
      <c r="B12" s="10" t="s">
        <v>51</v>
      </c>
      <c r="C12" s="10" t="s">
        <v>55</v>
      </c>
      <c r="D12" s="12">
        <f>C7-E7</f>
        <v>-596</v>
      </c>
    </row>
    <row r="14" spans="1:5" x14ac:dyDescent="0.3">
      <c r="C14" s="13" t="s">
        <v>56</v>
      </c>
      <c r="D14" s="13"/>
    </row>
    <row r="15" spans="1:5" x14ac:dyDescent="0.3">
      <c r="C15" s="13"/>
      <c r="D15" s="13" t="str">
        <f>IF(D9&gt;1,"The Project is on Budget","The Project is Over Budget")</f>
        <v>The Project is Over Budget</v>
      </c>
    </row>
    <row r="16" spans="1:5" x14ac:dyDescent="0.3">
      <c r="C16" s="13"/>
      <c r="D16" s="13" t="str">
        <f>IF(D10&gt;1,"The Project is on Schedule","The Project is Behind Schedule")</f>
        <v>The Project is Behind Schedule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Lab1</vt:lpstr>
      <vt:lpstr>Lab3</vt:lpstr>
      <vt:lpstr>Lab3FieldReport</vt:lpstr>
      <vt:lpstr>Lab3EVA Calculation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Aayush ‎</dc:creator>
  <cp:lastModifiedBy>Aayush ‎</cp:lastModifiedBy>
  <cp:lastPrinted>2026-06-30T08:03:38Z</cp:lastPrinted>
  <dcterms:created xsi:type="dcterms:W3CDTF">2026-03-23T01:54:36Z</dcterms:created>
  <dcterms:modified xsi:type="dcterms:W3CDTF">2026-06-30T08:49:27Z</dcterms:modified>
</cp:coreProperties>
</file>